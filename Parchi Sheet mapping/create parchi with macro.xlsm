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ura\Codes\Archives\Bablu web app\"/>
    </mc:Choice>
  </mc:AlternateContent>
  <xr:revisionPtr revIDLastSave="0" documentId="13_ncr:1_{3A67786A-C728-42B4-A3E5-45B400279384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Sheet1" sheetId="1" r:id="rId1"/>
    <sheet name="Sheet2" sheetId="4" r:id="rId2"/>
  </sheets>
  <definedNames>
    <definedName name="_xlnm.Print_Area" localSheetId="0">Sheet1!$A$1:$F$26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6" i="1" l="1"/>
  <c r="D6" i="1" s="1"/>
  <c r="F6" i="1" s="1"/>
  <c r="G7" i="1"/>
  <c r="D7" i="1" s="1"/>
  <c r="F7" i="1" s="1"/>
  <c r="D9" i="1"/>
  <c r="F9" i="1" s="1"/>
  <c r="G10" i="1"/>
  <c r="D10" i="1" s="1"/>
  <c r="F10" i="1" s="1"/>
  <c r="G11" i="1"/>
  <c r="D11" i="1" s="1"/>
  <c r="F11" i="1" s="1"/>
  <c r="G12" i="1"/>
  <c r="G13" i="1"/>
  <c r="D13" i="1" s="1"/>
  <c r="F13" i="1" s="1"/>
  <c r="G14" i="1"/>
  <c r="D14" i="1" s="1"/>
  <c r="F14" i="1" s="1"/>
  <c r="G15" i="1"/>
  <c r="D15" i="1" s="1"/>
  <c r="F15" i="1" s="1"/>
  <c r="G16" i="1"/>
  <c r="D16" i="1" s="1"/>
  <c r="F16" i="1" s="1"/>
  <c r="G17" i="1"/>
  <c r="G5" i="1"/>
  <c r="D5" i="1" s="1"/>
  <c r="F5" i="1" s="1"/>
  <c r="D12" i="1"/>
  <c r="F12" i="1" s="1"/>
  <c r="D8" i="1"/>
  <c r="F8" i="1" s="1"/>
  <c r="C17" i="1"/>
  <c r="F19" i="1" s="1"/>
  <c r="D2" i="1"/>
  <c r="F18" i="1" l="1"/>
  <c r="F20" i="1" s="1"/>
</calcChain>
</file>

<file path=xl/sharedStrings.xml><?xml version="1.0" encoding="utf-8"?>
<sst xmlns="http://schemas.openxmlformats.org/spreadsheetml/2006/main" count="150" uniqueCount="147">
  <si>
    <t>Total</t>
  </si>
  <si>
    <t>Rate</t>
  </si>
  <si>
    <t>Weight</t>
  </si>
  <si>
    <t>ITEM</t>
  </si>
  <si>
    <t>31 OD 5KG</t>
  </si>
  <si>
    <t>31 OD 7KG</t>
  </si>
  <si>
    <r>
      <rPr>
        <b/>
        <sz val="14"/>
        <rFont val="Calibri"/>
        <family val="2"/>
      </rPr>
      <t>2 X 1  7KG</t>
    </r>
  </si>
  <si>
    <r>
      <rPr>
        <b/>
        <sz val="14"/>
        <rFont val="Calibri"/>
        <family val="2"/>
      </rPr>
      <t>2 X 1  9KG</t>
    </r>
  </si>
  <si>
    <r>
      <rPr>
        <b/>
        <sz val="14"/>
        <rFont val="Calibri"/>
        <family val="2"/>
      </rPr>
      <t>2 X 1  12KG</t>
    </r>
  </si>
  <si>
    <r>
      <rPr>
        <b/>
        <sz val="14"/>
        <rFont val="Calibri"/>
        <family val="2"/>
      </rPr>
      <t>2 X 1  14KG</t>
    </r>
  </si>
  <si>
    <r>
      <rPr>
        <b/>
        <sz val="14"/>
        <rFont val="Calibri"/>
        <family val="2"/>
      </rPr>
      <t>2 X 1  20KG</t>
    </r>
  </si>
  <si>
    <r>
      <rPr>
        <b/>
        <sz val="14"/>
        <rFont val="Calibri"/>
        <family val="2"/>
      </rPr>
      <t>58 OD  10KG</t>
    </r>
  </si>
  <si>
    <r>
      <rPr>
        <b/>
        <sz val="14"/>
        <rFont val="Calibri"/>
        <family val="2"/>
      </rPr>
      <t>58 OD  11KG</t>
    </r>
  </si>
  <si>
    <r>
      <rPr>
        <b/>
        <sz val="14"/>
        <rFont val="Calibri"/>
        <family val="2"/>
      </rPr>
      <t>58 OD  12KG</t>
    </r>
  </si>
  <si>
    <r>
      <rPr>
        <b/>
        <sz val="14"/>
        <rFont val="Calibri"/>
        <family val="2"/>
      </rPr>
      <t>58 OD  15KG</t>
    </r>
  </si>
  <si>
    <r>
      <rPr>
        <b/>
        <sz val="14"/>
        <rFont val="Calibri"/>
        <family val="2"/>
      </rPr>
      <t>58 OD  17KG</t>
    </r>
  </si>
  <si>
    <r>
      <rPr>
        <b/>
        <sz val="14"/>
        <rFont val="Calibri"/>
        <family val="2"/>
      </rPr>
      <t>58 OD  20KG</t>
    </r>
  </si>
  <si>
    <r>
      <rPr>
        <b/>
        <sz val="14"/>
        <rFont val="Calibri"/>
        <family val="2"/>
      </rPr>
      <t>58 OD  23KG</t>
    </r>
  </si>
  <si>
    <r>
      <rPr>
        <b/>
        <sz val="14"/>
        <rFont val="Calibri"/>
        <family val="2"/>
      </rPr>
      <t>2 X 2  12KG</t>
    </r>
  </si>
  <si>
    <r>
      <rPr>
        <b/>
        <sz val="14"/>
        <rFont val="Calibri"/>
        <family val="2"/>
      </rPr>
      <t>2 X 2  15KG</t>
    </r>
  </si>
  <si>
    <r>
      <rPr>
        <b/>
        <sz val="14"/>
        <rFont val="Calibri"/>
        <family val="2"/>
      </rPr>
      <t>2 X 2  17KG</t>
    </r>
  </si>
  <si>
    <r>
      <rPr>
        <b/>
        <sz val="14"/>
        <rFont val="Calibri"/>
        <family val="2"/>
      </rPr>
      <t>2 X 2  20KG</t>
    </r>
  </si>
  <si>
    <r>
      <rPr>
        <b/>
        <sz val="14"/>
        <rFont val="Calibri"/>
        <family val="2"/>
      </rPr>
      <t>3 X 1  15KG</t>
    </r>
  </si>
  <si>
    <r>
      <rPr>
        <b/>
        <sz val="14"/>
        <rFont val="Calibri"/>
        <family val="2"/>
      </rPr>
      <t>3 X 1  17KG</t>
    </r>
  </si>
  <si>
    <r>
      <rPr>
        <b/>
        <sz val="14"/>
        <rFont val="Calibri"/>
        <family val="2"/>
      </rPr>
      <t>3 X 1  20KG</t>
    </r>
  </si>
  <si>
    <r>
      <rPr>
        <b/>
        <sz val="14"/>
        <rFont val="Calibri"/>
        <family val="2"/>
      </rPr>
      <t>60 X 40  12KG</t>
    </r>
  </si>
  <si>
    <r>
      <rPr>
        <b/>
        <sz val="14"/>
        <rFont val="Calibri"/>
        <family val="2"/>
      </rPr>
      <t>60 X 40  15KG</t>
    </r>
  </si>
  <si>
    <r>
      <rPr>
        <b/>
        <sz val="14"/>
        <rFont val="Calibri"/>
        <family val="2"/>
      </rPr>
      <t>60 X 40  17KG</t>
    </r>
  </si>
  <si>
    <r>
      <rPr>
        <b/>
        <sz val="14"/>
        <rFont val="Calibri"/>
        <family val="2"/>
      </rPr>
      <t>60 X 40  20KG</t>
    </r>
  </si>
  <si>
    <r>
      <rPr>
        <b/>
        <sz val="14"/>
        <rFont val="Calibri"/>
        <family val="2"/>
      </rPr>
      <t>60 X 40  23KG</t>
    </r>
  </si>
  <si>
    <r>
      <rPr>
        <b/>
        <sz val="14"/>
        <rFont val="Calibri"/>
        <family val="2"/>
      </rPr>
      <t>62 X 32  12KG</t>
    </r>
  </si>
  <si>
    <r>
      <rPr>
        <b/>
        <sz val="14"/>
        <rFont val="Calibri"/>
        <family val="2"/>
      </rPr>
      <t>62 X 32  15KG</t>
    </r>
  </si>
  <si>
    <r>
      <rPr>
        <b/>
        <sz val="14"/>
        <rFont val="Calibri"/>
        <family val="2"/>
      </rPr>
      <t>62 X 32  17KG</t>
    </r>
  </si>
  <si>
    <r>
      <rPr>
        <b/>
        <sz val="14"/>
        <rFont val="Calibri"/>
        <family val="2"/>
      </rPr>
      <t>62 X 32  20KG</t>
    </r>
  </si>
  <si>
    <r>
      <rPr>
        <b/>
        <sz val="14"/>
        <rFont val="Calibri"/>
        <family val="2"/>
      </rPr>
      <t>62 X 32  23KG</t>
    </r>
  </si>
  <si>
    <r>
      <rPr>
        <b/>
        <sz val="14"/>
        <rFont val="Calibri"/>
        <family val="2"/>
      </rPr>
      <t>41 OD  4.5KG</t>
    </r>
  </si>
  <si>
    <r>
      <rPr>
        <b/>
        <sz val="14"/>
        <rFont val="Calibri"/>
        <family val="2"/>
      </rPr>
      <t>41 OD  5KG</t>
    </r>
  </si>
  <si>
    <r>
      <rPr>
        <b/>
        <sz val="14"/>
        <rFont val="Calibri"/>
        <family val="2"/>
      </rPr>
      <t>41 OD  6KG</t>
    </r>
  </si>
  <si>
    <r>
      <rPr>
        <b/>
        <sz val="14"/>
        <rFont val="Calibri"/>
        <family val="2"/>
      </rPr>
      <t>41 0D  7KG</t>
    </r>
  </si>
  <si>
    <r>
      <rPr>
        <b/>
        <sz val="14"/>
        <rFont val="Calibri"/>
        <family val="2"/>
      </rPr>
      <t>41 OD  9KG</t>
    </r>
  </si>
  <si>
    <r>
      <rPr>
        <b/>
        <sz val="14"/>
        <rFont val="Calibri"/>
        <family val="2"/>
      </rPr>
      <t>41 OD  12KG</t>
    </r>
  </si>
  <si>
    <r>
      <rPr>
        <b/>
        <sz val="14"/>
        <rFont val="Calibri"/>
        <family val="2"/>
      </rPr>
      <t>41 OD  14KG</t>
    </r>
  </si>
  <si>
    <r>
      <rPr>
        <b/>
        <sz val="14"/>
        <rFont val="Calibri"/>
        <family val="2"/>
      </rPr>
      <t>41 OD  16/17KG</t>
    </r>
  </si>
  <si>
    <r>
      <rPr>
        <b/>
        <sz val="14"/>
        <rFont val="Calibri"/>
        <family val="2"/>
      </rPr>
      <t>37 OD  4KG</t>
    </r>
  </si>
  <si>
    <r>
      <rPr>
        <b/>
        <sz val="14"/>
        <rFont val="Calibri"/>
        <family val="2"/>
      </rPr>
      <t>37 OD  5KG</t>
    </r>
  </si>
  <si>
    <r>
      <rPr>
        <b/>
        <sz val="14"/>
        <rFont val="Calibri"/>
        <family val="2"/>
      </rPr>
      <t>37 OD  6KG</t>
    </r>
  </si>
  <si>
    <r>
      <rPr>
        <b/>
        <sz val="14"/>
        <rFont val="Calibri"/>
        <family val="2"/>
      </rPr>
      <t>37 OD  7KG</t>
    </r>
  </si>
  <si>
    <r>
      <rPr>
        <b/>
        <sz val="14"/>
        <rFont val="Calibri"/>
        <family val="2"/>
      </rPr>
      <t>37 OD  9KG &amp; 10KG</t>
    </r>
  </si>
  <si>
    <t>sub Total</t>
  </si>
  <si>
    <t>cartage</t>
  </si>
  <si>
    <t>Total amount</t>
  </si>
  <si>
    <t>1 X 1  3KG</t>
  </si>
  <si>
    <t>1 X 1 4KG</t>
  </si>
  <si>
    <t>1 X 1 5KG</t>
  </si>
  <si>
    <t>1 X 1  7KG</t>
  </si>
  <si>
    <t>1 X 1  10KG</t>
  </si>
  <si>
    <t>3 X 1  12KG</t>
  </si>
  <si>
    <t>3/4 X 3/4   3KG</t>
  </si>
  <si>
    <t>3/4 X 3/4  5KG</t>
  </si>
  <si>
    <t>1/2   3KG</t>
  </si>
  <si>
    <t>1/2 x 1   5KG</t>
  </si>
  <si>
    <t>19 OD 3 KG</t>
  </si>
  <si>
    <t>25 OD 3 KG</t>
  </si>
  <si>
    <t>25 OD 5 KG</t>
  </si>
  <si>
    <t>25 OD 7 KG</t>
  </si>
  <si>
    <t>31 OD 4KG</t>
  </si>
  <si>
    <t>31 OD 6KG</t>
  </si>
  <si>
    <t>31 OD 8KG</t>
  </si>
  <si>
    <t>CAPSUL  4KG</t>
  </si>
  <si>
    <t>CAPSUL 5 KG</t>
  </si>
  <si>
    <t>31 OD 10KG</t>
  </si>
  <si>
    <t>37 OD  8KG</t>
  </si>
  <si>
    <t>48OD 6KG</t>
  </si>
  <si>
    <t>48OD 7KG</t>
  </si>
  <si>
    <t>48OD 9KG</t>
  </si>
  <si>
    <t>48OD 12KG</t>
  </si>
  <si>
    <t>48OD 14KG</t>
  </si>
  <si>
    <t>48OD 20KG</t>
  </si>
  <si>
    <t>RT 12KG</t>
  </si>
  <si>
    <t>D 9KG</t>
  </si>
  <si>
    <r>
      <t>3 x 1</t>
    </r>
    <r>
      <rPr>
        <b/>
        <vertAlign val="superscript"/>
        <sz val="14"/>
        <rFont val="Calibri"/>
        <family val="2"/>
      </rPr>
      <t>1/2</t>
    </r>
    <r>
      <rPr>
        <b/>
        <sz val="14"/>
        <rFont val="Calibri"/>
        <family val="2"/>
      </rPr>
      <t xml:space="preserve"> 17KG</t>
    </r>
  </si>
  <si>
    <r>
      <t>3 x 1</t>
    </r>
    <r>
      <rPr>
        <b/>
        <vertAlign val="superscript"/>
        <sz val="14"/>
        <rFont val="Calibri"/>
        <family val="2"/>
      </rPr>
      <t>1/2</t>
    </r>
    <r>
      <rPr>
        <b/>
        <sz val="14"/>
        <rFont val="Calibri"/>
        <family val="2"/>
      </rPr>
      <t xml:space="preserve"> 20KG</t>
    </r>
  </si>
  <si>
    <r>
      <t>3 x 1</t>
    </r>
    <r>
      <rPr>
        <b/>
        <vertAlign val="superscript"/>
        <sz val="14"/>
        <rFont val="Calibri"/>
        <family val="2"/>
      </rPr>
      <t>1/2</t>
    </r>
    <r>
      <rPr>
        <b/>
        <sz val="14"/>
        <rFont val="Calibri"/>
        <family val="2"/>
      </rPr>
      <t xml:space="preserve"> 24KG</t>
    </r>
  </si>
  <si>
    <r>
      <t>3 x 1</t>
    </r>
    <r>
      <rPr>
        <b/>
        <vertAlign val="superscript"/>
        <sz val="14"/>
        <rFont val="Calibri"/>
        <family val="2"/>
      </rPr>
      <t>1/2</t>
    </r>
    <r>
      <rPr>
        <b/>
        <sz val="14"/>
        <rFont val="Calibri"/>
        <family val="2"/>
      </rPr>
      <t xml:space="preserve"> 30-32KG</t>
    </r>
  </si>
  <si>
    <t>4x2 32KG</t>
  </si>
  <si>
    <t>4x2 24KG</t>
  </si>
  <si>
    <t>PHONE no.</t>
  </si>
  <si>
    <t>DATE</t>
  </si>
  <si>
    <t>TOTAL WEIGHT</t>
  </si>
  <si>
    <t>kg</t>
  </si>
  <si>
    <t>1 X 1  8KG</t>
  </si>
  <si>
    <t>2 X 2  23KG</t>
  </si>
  <si>
    <t>19 OD 4KG</t>
  </si>
  <si>
    <t>26 OD  4 KG</t>
  </si>
  <si>
    <t>BASIC</t>
  </si>
  <si>
    <t>qty.</t>
  </si>
  <si>
    <t>2 X 1/2   7KG</t>
  </si>
  <si>
    <t>3/4 X 3/4   4KG</t>
  </si>
  <si>
    <t>1 X 1  2KG</t>
  </si>
  <si>
    <t>2 X 2  25KG</t>
  </si>
  <si>
    <t>25 OD 10 KG</t>
  </si>
  <si>
    <t>60 X 60  20KG</t>
  </si>
  <si>
    <t>60 X 60  25KG</t>
  </si>
  <si>
    <t>3X3 25KG</t>
  </si>
  <si>
    <t>3X3 30KG</t>
  </si>
  <si>
    <t>3X3 35KG</t>
  </si>
  <si>
    <t>3X3 40KG</t>
  </si>
  <si>
    <t>3X3 45KG</t>
  </si>
  <si>
    <t>4X4 40KG</t>
  </si>
  <si>
    <t>4X4 50KG</t>
  </si>
  <si>
    <t>5X5 50KG</t>
  </si>
  <si>
    <t>6X6 70KG</t>
  </si>
  <si>
    <t>6X3 40KG</t>
  </si>
  <si>
    <t>75OD 20KG</t>
  </si>
  <si>
    <t>75OD 30kG</t>
  </si>
  <si>
    <t>88OD 24KG</t>
  </si>
  <si>
    <t>88 OD 32KG</t>
  </si>
  <si>
    <t>88 OD 40KG</t>
  </si>
  <si>
    <t>110OD 40&amp;50KG</t>
  </si>
  <si>
    <t>5inch O 50KG</t>
  </si>
  <si>
    <t>6inch O 60KG</t>
  </si>
  <si>
    <t>3/4 X 3/4  6KG</t>
  </si>
  <si>
    <t>3/4 X 3/4  7KG</t>
  </si>
  <si>
    <t>2 X 1 6KG</t>
  </si>
  <si>
    <t>60 X 60  32KG</t>
  </si>
  <si>
    <t>61 X 60  40KG</t>
  </si>
  <si>
    <t>4X1 17KG</t>
  </si>
  <si>
    <t>4X1 20KG</t>
  </si>
  <si>
    <t>RATE</t>
  </si>
  <si>
    <t>No.</t>
  </si>
  <si>
    <t>5 X 2.(1/2 ) 35KG</t>
  </si>
  <si>
    <t>5 X 2.(1/2 ) 45KG</t>
  </si>
  <si>
    <t>Cartage</t>
  </si>
  <si>
    <t>30X30   7KG</t>
  </si>
  <si>
    <t>30X30   9KG</t>
  </si>
  <si>
    <t>30X30   12KG</t>
  </si>
  <si>
    <t>30X30   14KG</t>
  </si>
  <si>
    <t>38X38 7KG</t>
  </si>
  <si>
    <t>38X38 9KG</t>
  </si>
  <si>
    <t>38X38 12KG</t>
  </si>
  <si>
    <t>38X38 14KG</t>
  </si>
  <si>
    <t>38X38 20KG</t>
  </si>
  <si>
    <t>38X38 25KG</t>
  </si>
  <si>
    <t>40X20 9KG</t>
  </si>
  <si>
    <t>40X20 7KG</t>
  </si>
  <si>
    <t>40X25  7KG</t>
  </si>
  <si>
    <t>40X25  9KG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</si>
</sst>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[$-14009]dd\ mmmm\ yyyy;@"/>
    <numFmt numFmtId="166" formatCode="&quot;₹&quot;\ #,##0"/>
    <numFmt numFmtId="167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</font>
    <font>
      <b/>
      <vertAlign val="superscript"/>
      <sz val="14"/>
      <name val="Calibri"/>
      <family val="2"/>
    </font>
    <font>
      <b/>
      <sz val="11"/>
      <color theme="1"/>
      <name val="Gadug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Agency FB"/>
      <family val="2"/>
    </font>
    <font>
      <sz val="14"/>
      <color theme="1"/>
      <name val="Agency FB"/>
      <family val="2"/>
    </font>
    <font>
      <b/>
      <u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2" fontId="0" fillId="0" borderId="0" xfId="0" applyNumberFormat="1"/>
    <xf numFmtId="0" fontId="9" fillId="2" borderId="0" xfId="0" applyFont="1" applyFill="1"/>
    <xf numFmtId="0" fontId="10" fillId="3" borderId="0" xfId="0" applyFont="1" applyFill="1"/>
    <xf numFmtId="167" fontId="0" fillId="0" borderId="0" xfId="0" applyNumberFormat="1"/>
    <xf numFmtId="0" fontId="0" fillId="0" borderId="0" xfId="0" applyBorder="1"/>
    <xf numFmtId="0" fontId="7" fillId="0" borderId="0" xfId="0" applyFont="1"/>
    <xf numFmtId="166" fontId="0" fillId="0" borderId="0" xfId="0" applyNumberFormat="1"/>
    <xf numFmtId="166" fontId="3" fillId="0" borderId="0" xfId="0" applyNumberFormat="1" applyFont="1" applyBorder="1"/>
    <xf numFmtId="0" fontId="3" fillId="0" borderId="9" xfId="0" applyFont="1" applyBorder="1" applyAlignment="1">
      <alignment horizontal="center" vertical="center"/>
    </xf>
    <xf numFmtId="164" fontId="4" fillId="0" borderId="16" xfId="1" applyFont="1" applyBorder="1" applyAlignment="1">
      <alignment horizontal="center" vertical="center"/>
    </xf>
    <xf numFmtId="164" fontId="4" fillId="0" borderId="9" xfId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5" xfId="0" applyFont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top" wrapText="1"/>
    </xf>
    <xf numFmtId="167" fontId="0" fillId="0" borderId="24" xfId="0" applyNumberFormat="1" applyBorder="1"/>
    <xf numFmtId="2" fontId="0" fillId="0" borderId="24" xfId="0" applyNumberFormat="1" applyBorder="1"/>
    <xf numFmtId="0" fontId="0" fillId="0" borderId="25" xfId="0" applyBorder="1"/>
    <xf numFmtId="0" fontId="14" fillId="0" borderId="0" xfId="0" applyFont="1" applyAlignment="1">
      <alignment horizontal="center" vertical="center" wrapText="1"/>
    </xf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top" wrapText="1"/>
    </xf>
    <xf numFmtId="2" fontId="0" fillId="0" borderId="2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9525</xdr:rowOff>
    </xdr:from>
    <xdr:to>
      <xdr:col>8</xdr:col>
      <xdr:colOff>200025</xdr:colOff>
      <xdr:row>1</xdr:row>
      <xdr:rowOff>114300</xdr:rowOff>
    </xdr:to>
    <xdr:sp macro="[0]!_xludf.clea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71900" y="9525"/>
          <a:ext cx="733425" cy="3048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7</xdr:col>
      <xdr:colOff>66675</xdr:colOff>
      <xdr:row>2</xdr:row>
      <xdr:rowOff>38100</xdr:rowOff>
    </xdr:from>
    <xdr:to>
      <xdr:col>8</xdr:col>
      <xdr:colOff>190500</xdr:colOff>
      <xdr:row>3</xdr:row>
      <xdr:rowOff>152400</xdr:rowOff>
    </xdr:to>
    <xdr:sp macro="[0]!_xludf.sav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2375" y="428625"/>
          <a:ext cx="733425" cy="3048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SAVE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26"/>
  <sheetViews>
    <sheetView tabSelected="1" view="pageBreakPreview" zoomScaleNormal="85" zoomScaleSheetLayoutView="100" zoomScalePageLayoutView="85" workbookViewId="0">
      <selection activeCell="G4" sqref="G4"/>
    </sheetView>
  </sheetViews>
  <sheetFormatPr defaultRowHeight="14.5" x14ac:dyDescent="0.35"/>
  <cols>
    <col min="1" max="1" width="14.453125" customWidth="1"/>
    <col min="2" max="2" width="3.81640625" customWidth="1"/>
    <col min="3" max="3" width="9.26953125" customWidth="1"/>
    <col min="4" max="4" width="1.26953125" customWidth="1"/>
    <col min="5" max="5" width="6.453125" customWidth="1"/>
    <col min="6" max="6" width="11" customWidth="1"/>
  </cols>
  <sheetData>
    <row r="1" spans="1:7" ht="15" thickBot="1" x14ac:dyDescent="0.4">
      <c r="A1" s="42"/>
      <c r="B1" s="43"/>
      <c r="C1" s="44"/>
      <c r="D1" s="48" t="s">
        <v>87</v>
      </c>
      <c r="E1" s="49"/>
      <c r="F1" s="50"/>
      <c r="G1" t="s">
        <v>132</v>
      </c>
    </row>
    <row r="2" spans="1:7" x14ac:dyDescent="0.35">
      <c r="A2" s="45"/>
      <c r="B2" s="46"/>
      <c r="C2" s="47"/>
      <c r="D2" s="33">
        <f ca="1">TODAY()</f>
        <v>44156</v>
      </c>
      <c r="E2" s="33"/>
      <c r="F2" s="34"/>
    </row>
    <row r="3" spans="1:7" x14ac:dyDescent="0.35">
      <c r="A3" s="45"/>
      <c r="B3" s="46"/>
      <c r="C3" s="47"/>
      <c r="D3" s="35"/>
      <c r="E3" s="35"/>
      <c r="F3" s="36"/>
      <c r="G3" s="2" t="s">
        <v>94</v>
      </c>
    </row>
    <row r="4" spans="1:7" ht="17.5" x14ac:dyDescent="0.35">
      <c r="A4" s="28" t="s">
        <v>3</v>
      </c>
      <c r="B4" s="28" t="s">
        <v>95</v>
      </c>
      <c r="C4" s="28" t="s">
        <v>2</v>
      </c>
      <c r="D4" s="37" t="s">
        <v>1</v>
      </c>
      <c r="E4" s="37"/>
      <c r="F4" s="28" t="s">
        <v>0</v>
      </c>
      <c r="G4" s="3">
        <v>48</v>
      </c>
    </row>
    <row r="5" spans="1:7" ht="15.5" x14ac:dyDescent="0.35">
      <c r="A5" s="6" t="s">
        <v>96</v>
      </c>
      <c r="B5" s="6"/>
      <c r="C5" s="4">
        <v>577</v>
      </c>
      <c r="D5" s="38">
        <f>IFERROR(SUM(G4+G5),"")</f>
        <v>53</v>
      </c>
      <c r="E5" s="38"/>
      <c r="F5">
        <f>IFERROR(SUM(C5*D5),"")</f>
        <v>30581</v>
      </c>
      <c r="G5">
        <f>IFERROR(VLOOKUP(A5,Sheet2!B2:C151,2,0),"")</f>
        <v>5</v>
      </c>
    </row>
    <row r="6" spans="1:7" ht="15.5" x14ac:dyDescent="0.35">
      <c r="A6" s="6"/>
      <c r="B6" s="6"/>
      <c r="C6" s="4"/>
      <c r="D6" s="39" t="str">
        <f>IFERROR(SUM(G4+G6),"")</f>
        <v/>
      </c>
      <c r="E6" s="39"/>
      <c r="F6" t="str">
        <f t="shared" ref="F6:F16" si="0">IFERROR(SUM(C6*D6),"")</f>
        <v/>
      </c>
      <c r="G6" t="str">
        <f>IFERROR(VLOOKUP(A6,Sheet2!B3:C152,2,0),"")</f>
        <v/>
      </c>
    </row>
    <row r="7" spans="1:7" ht="15.5" x14ac:dyDescent="0.35">
      <c r="A7" s="6"/>
      <c r="B7" s="6"/>
      <c r="C7" s="4"/>
      <c r="D7" s="39" t="str">
        <f>IFERROR(SUM(G4+G7),"")</f>
        <v/>
      </c>
      <c r="E7" s="39"/>
      <c r="F7" t="str">
        <f t="shared" si="0"/>
        <v/>
      </c>
      <c r="G7" t="str">
        <f>IFERROR(VLOOKUP(A7,Sheet2!B4:C153,2,0),"")</f>
        <v/>
      </c>
    </row>
    <row r="8" spans="1:7" ht="15.5" x14ac:dyDescent="0.35">
      <c r="A8" s="6"/>
      <c r="B8" s="6"/>
      <c r="C8" s="4"/>
      <c r="D8" s="39" t="str">
        <f>IFERROR(SUM(G4+G8),"")</f>
        <v/>
      </c>
      <c r="E8" s="39"/>
      <c r="F8" t="str">
        <f t="shared" si="0"/>
        <v/>
      </c>
      <c r="G8" t="str">
        <f>IFERROR(VLOOKUP(A8,Sheet2!B5:C154,2,0),"")</f>
        <v/>
      </c>
    </row>
    <row r="9" spans="1:7" ht="15.5" x14ac:dyDescent="0.35">
      <c r="A9" s="6"/>
      <c r="B9" s="6"/>
      <c r="C9" s="4"/>
      <c r="D9" s="39" t="str">
        <f>IFERROR(SUM(G4+G9),"")</f>
        <v/>
      </c>
      <c r="E9" s="39"/>
      <c r="F9" t="str">
        <f t="shared" si="0"/>
        <v/>
      </c>
      <c r="G9" t="str">
        <f>IFERROR(VLOOKUP(A9,Sheet2!B6:C155,2,0),"")</f>
        <v/>
      </c>
    </row>
    <row r="10" spans="1:7" ht="15.5" x14ac:dyDescent="0.35">
      <c r="A10" s="6"/>
      <c r="B10" s="6"/>
      <c r="C10" s="4"/>
      <c r="D10" s="39" t="str">
        <f>IFERROR(SUM(G4+G10),"")</f>
        <v/>
      </c>
      <c r="E10" s="39"/>
      <c r="F10" t="str">
        <f t="shared" si="0"/>
        <v/>
      </c>
      <c r="G10" t="str">
        <f>IFERROR(VLOOKUP(A10,Sheet2!B7:C156,2,0),"")</f>
        <v/>
      </c>
    </row>
    <row r="11" spans="1:7" ht="15.5" x14ac:dyDescent="0.35">
      <c r="A11" s="6"/>
      <c r="B11" s="6"/>
      <c r="C11" s="4"/>
      <c r="D11" s="39" t="str">
        <f>IFERROR(SUM(G4+G11),"")</f>
        <v/>
      </c>
      <c r="E11" s="39"/>
      <c r="F11" t="str">
        <f t="shared" si="0"/>
        <v/>
      </c>
      <c r="G11" t="str">
        <f>IFERROR(VLOOKUP(A11,Sheet2!B8:C157,2,0),"")</f>
        <v/>
      </c>
    </row>
    <row r="12" spans="1:7" ht="15.5" x14ac:dyDescent="0.35">
      <c r="A12" s="6"/>
      <c r="B12" s="6"/>
      <c r="C12" s="4"/>
      <c r="D12" s="39" t="str">
        <f>IFERROR(SUM(G4+G12),"")</f>
        <v/>
      </c>
      <c r="E12" s="39"/>
      <c r="F12" t="str">
        <f t="shared" si="0"/>
        <v/>
      </c>
      <c r="G12" t="str">
        <f>IFERROR(VLOOKUP(A12,Sheet2!B9:C158,2,0),"")</f>
        <v/>
      </c>
    </row>
    <row r="13" spans="1:7" ht="15.5" x14ac:dyDescent="0.35">
      <c r="A13" s="6"/>
      <c r="B13" s="6"/>
      <c r="C13" s="4"/>
      <c r="D13" s="39" t="str">
        <f>IFERROR(SUM(G4+G13),"")</f>
        <v/>
      </c>
      <c r="E13" s="39"/>
      <c r="F13" t="str">
        <f t="shared" si="0"/>
        <v/>
      </c>
      <c r="G13" t="str">
        <f>IFERROR(VLOOKUP(A13,Sheet2!B10:C159,2,0),"")</f>
        <v/>
      </c>
    </row>
    <row r="14" spans="1:7" ht="15.5" x14ac:dyDescent="0.35">
      <c r="A14" s="6"/>
      <c r="B14" s="6"/>
      <c r="C14" s="4"/>
      <c r="D14" s="39" t="str">
        <f>IFERROR(SUM(G4+G14),"")</f>
        <v/>
      </c>
      <c r="E14" s="39"/>
      <c r="F14" t="str">
        <f t="shared" si="0"/>
        <v/>
      </c>
      <c r="G14" t="str">
        <f>IFERROR(VLOOKUP(A14,Sheet2!B11:C160,2,0),"")</f>
        <v/>
      </c>
    </row>
    <row r="15" spans="1:7" ht="15.5" x14ac:dyDescent="0.35">
      <c r="A15" s="6"/>
      <c r="B15" s="6"/>
      <c r="C15" s="4"/>
      <c r="D15" s="39" t="str">
        <f>IFERROR(SUM(G4+G15),"")</f>
        <v/>
      </c>
      <c r="E15" s="39"/>
      <c r="F15" t="str">
        <f t="shared" si="0"/>
        <v/>
      </c>
      <c r="G15" t="str">
        <f>IFERROR(VLOOKUP(A15,Sheet2!B12:C161,2,0),"")</f>
        <v/>
      </c>
    </row>
    <row r="16" spans="1:7" ht="15.5" x14ac:dyDescent="0.35">
      <c r="A16" s="6"/>
      <c r="B16" s="6"/>
      <c r="C16" s="4"/>
      <c r="D16" s="39" t="str">
        <f>IFERROR(SUM(G4+G16),"")</f>
        <v/>
      </c>
      <c r="E16" s="39"/>
      <c r="F16" t="str">
        <f t="shared" si="0"/>
        <v/>
      </c>
      <c r="G16" t="str">
        <f>IFERROR(VLOOKUP(A16,Sheet2!B13:C162,2,0),"")</f>
        <v/>
      </c>
    </row>
    <row r="17" spans="1:7" x14ac:dyDescent="0.35">
      <c r="A17" s="40" t="s">
        <v>88</v>
      </c>
      <c r="B17" s="41"/>
      <c r="C17" s="29">
        <f>SUM(C5:C16)</f>
        <v>577</v>
      </c>
      <c r="D17" s="30" t="s">
        <v>89</v>
      </c>
      <c r="E17" s="31"/>
      <c r="G17" t="str">
        <f>IFERROR(VLOOKUP(A17,Sheet2!B14:C163,2,0),"")</f>
        <v/>
      </c>
    </row>
    <row r="18" spans="1:7" x14ac:dyDescent="0.35">
      <c r="A18" s="51" t="s">
        <v>86</v>
      </c>
      <c r="B18" s="51"/>
      <c r="C18" s="53" t="s">
        <v>48</v>
      </c>
      <c r="D18" s="53"/>
      <c r="E18" s="53"/>
      <c r="F18" s="7">
        <f>SUM(F5:F16)</f>
        <v>30581</v>
      </c>
    </row>
    <row r="19" spans="1:7" ht="15" customHeight="1" x14ac:dyDescent="0.35">
      <c r="A19" s="52"/>
      <c r="B19" s="52"/>
      <c r="C19" s="53" t="s">
        <v>49</v>
      </c>
      <c r="D19" s="53"/>
      <c r="E19" s="53"/>
      <c r="F19" s="1">
        <f>SUM(C17*G2)</f>
        <v>0</v>
      </c>
    </row>
    <row r="20" spans="1:7" ht="15" customHeight="1" x14ac:dyDescent="0.45">
      <c r="A20" s="52"/>
      <c r="B20" s="52"/>
      <c r="C20" s="53" t="s">
        <v>50</v>
      </c>
      <c r="D20" s="53"/>
      <c r="E20" s="53"/>
      <c r="F20" s="8">
        <f>SUM(F18:F19)</f>
        <v>30581</v>
      </c>
    </row>
    <row r="21" spans="1:7" ht="21" customHeight="1" x14ac:dyDescent="0.35">
      <c r="A21" s="32"/>
      <c r="B21" s="32"/>
      <c r="C21" s="32"/>
      <c r="D21" s="32"/>
      <c r="E21" s="32"/>
      <c r="F21" s="32"/>
    </row>
    <row r="22" spans="1:7" ht="15.75" customHeight="1" x14ac:dyDescent="0.35">
      <c r="A22" s="32"/>
      <c r="B22" s="32"/>
      <c r="C22" s="32"/>
      <c r="D22" s="32"/>
      <c r="E22" s="32"/>
      <c r="F22" s="32"/>
    </row>
    <row r="23" spans="1:7" ht="15.75" customHeight="1" x14ac:dyDescent="0.35">
      <c r="A23" s="32"/>
      <c r="B23" s="32"/>
      <c r="C23" s="32"/>
      <c r="D23" s="32"/>
      <c r="E23" s="32"/>
      <c r="F23" s="32"/>
    </row>
    <row r="24" spans="1:7" ht="15.75" customHeight="1" x14ac:dyDescent="0.35">
      <c r="A24" s="32"/>
      <c r="B24" s="32"/>
      <c r="C24" s="32"/>
      <c r="D24" s="32"/>
      <c r="E24" s="32"/>
      <c r="F24" s="32"/>
    </row>
    <row r="25" spans="1:7" ht="15" customHeight="1" x14ac:dyDescent="0.35">
      <c r="A25" s="32"/>
      <c r="B25" s="32"/>
      <c r="C25" s="32"/>
      <c r="D25" s="32"/>
      <c r="E25" s="32"/>
      <c r="F25" s="32"/>
    </row>
    <row r="26" spans="1:7" ht="15" customHeight="1" x14ac:dyDescent="0.35">
      <c r="A26" s="32"/>
      <c r="B26" s="32"/>
      <c r="C26" s="32"/>
      <c r="D26" s="32"/>
      <c r="E26" s="32"/>
      <c r="F26" s="32"/>
    </row>
  </sheetData>
  <mergeCells count="23">
    <mergeCell ref="A19:B20"/>
    <mergeCell ref="D14:E14"/>
    <mergeCell ref="D15:E15"/>
    <mergeCell ref="C18:E18"/>
    <mergeCell ref="C19:E19"/>
    <mergeCell ref="C20:E20"/>
    <mergeCell ref="D16:E16"/>
    <mergeCell ref="A21:F26"/>
    <mergeCell ref="D2:F3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A17:B17"/>
    <mergeCell ref="A1:C3"/>
    <mergeCell ref="D1:F1"/>
    <mergeCell ref="A18:B18"/>
  </mergeCells>
  <pageMargins left="0.23622047244094491" right="7.874015748031496E-2" top="0.15748031496062992" bottom="7.874015748031496E-2" header="0.31496062992125984" footer="0.31496062992125984"/>
  <pageSetup paperSize="70" orientation="portrait" r:id="rId1"/>
  <colBreaks count="1" manualBreakCount="1">
    <brk id="6" max="2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Sheet2!$B$1:$B$151</xm:f>
          </x14:formula1>
          <xm:sqref>A5:A16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51"/>
  <sheetViews>
    <sheetView zoomScale="70" zoomScaleNormal="70" workbookViewId="0">
      <selection activeCell="C135" sqref="C135"/>
    </sheetView>
  </sheetViews>
  <sheetFormatPr defaultColWidth="9.1796875" defaultRowHeight="14.5" x14ac:dyDescent="0.35"/>
  <cols>
    <col min="1" max="1" width="9.1796875" style="5" customWidth="1"/>
    <col min="2" max="2" width="28.7265625" style="5" customWidth="1"/>
    <col min="3" max="16384" width="9.1796875" style="5"/>
  </cols>
  <sheetData>
    <row r="1" spans="1:3" ht="19" thickBot="1" x14ac:dyDescent="0.4">
      <c r="A1" s="13" t="s">
        <v>129</v>
      </c>
      <c r="B1" s="14" t="s">
        <v>3</v>
      </c>
      <c r="C1" s="15" t="s">
        <v>128</v>
      </c>
    </row>
    <row r="2" spans="1:3" ht="18.5" x14ac:dyDescent="0.35">
      <c r="A2" s="16">
        <v>1</v>
      </c>
      <c r="B2" s="10" t="s">
        <v>59</v>
      </c>
      <c r="C2" s="17">
        <v>5.8</v>
      </c>
    </row>
    <row r="3" spans="1:3" ht="18.5" x14ac:dyDescent="0.35">
      <c r="A3" s="18">
        <v>2</v>
      </c>
      <c r="B3" s="11" t="s">
        <v>57</v>
      </c>
      <c r="C3" s="19">
        <v>6.5</v>
      </c>
    </row>
    <row r="4" spans="1:3" ht="18.5" x14ac:dyDescent="0.35">
      <c r="A4" s="18">
        <v>3</v>
      </c>
      <c r="B4" s="11" t="s">
        <v>97</v>
      </c>
      <c r="C4" s="19">
        <v>3.5</v>
      </c>
    </row>
    <row r="5" spans="1:3" ht="18.5" x14ac:dyDescent="0.35">
      <c r="A5" s="18">
        <v>4</v>
      </c>
      <c r="B5" s="11" t="s">
        <v>58</v>
      </c>
      <c r="C5" s="19">
        <v>2.5</v>
      </c>
    </row>
    <row r="6" spans="1:3" ht="18.5" x14ac:dyDescent="0.35">
      <c r="A6" s="18">
        <v>5</v>
      </c>
      <c r="B6" s="11" t="s">
        <v>121</v>
      </c>
      <c r="C6" s="19">
        <v>2.5</v>
      </c>
    </row>
    <row r="7" spans="1:3" ht="18.5" x14ac:dyDescent="0.35">
      <c r="A7" s="18">
        <v>6</v>
      </c>
      <c r="B7" s="11" t="s">
        <v>122</v>
      </c>
      <c r="C7" s="19">
        <v>2.5</v>
      </c>
    </row>
    <row r="8" spans="1:3" ht="18.5" x14ac:dyDescent="0.35">
      <c r="A8" s="18">
        <v>7</v>
      </c>
      <c r="B8" s="12" t="s">
        <v>98</v>
      </c>
      <c r="C8" s="26">
        <v>12.5</v>
      </c>
    </row>
    <row r="9" spans="1:3" ht="18.5" x14ac:dyDescent="0.35">
      <c r="A9" s="18">
        <v>8</v>
      </c>
      <c r="B9" s="25" t="s">
        <v>51</v>
      </c>
      <c r="C9" s="27">
        <v>7</v>
      </c>
    </row>
    <row r="10" spans="1:3" ht="18.5" x14ac:dyDescent="0.35">
      <c r="A10" s="18">
        <v>9</v>
      </c>
      <c r="B10" s="25" t="s">
        <v>52</v>
      </c>
      <c r="C10" s="27">
        <v>4.5</v>
      </c>
    </row>
    <row r="11" spans="1:3" ht="18.5" x14ac:dyDescent="0.35">
      <c r="A11" s="18">
        <v>10</v>
      </c>
      <c r="B11" s="25" t="s">
        <v>53</v>
      </c>
      <c r="C11" s="27">
        <v>2.7</v>
      </c>
    </row>
    <row r="12" spans="1:3" ht="18.5" x14ac:dyDescent="0.35">
      <c r="A12" s="18">
        <v>11</v>
      </c>
      <c r="B12" s="25" t="s">
        <v>123</v>
      </c>
      <c r="C12" s="27">
        <v>2.7</v>
      </c>
    </row>
    <row r="13" spans="1:3" ht="18.5" x14ac:dyDescent="0.35">
      <c r="A13" s="18">
        <v>12</v>
      </c>
      <c r="B13" s="25" t="s">
        <v>54</v>
      </c>
      <c r="C13" s="27">
        <v>2.5</v>
      </c>
    </row>
    <row r="14" spans="1:3" ht="18.5" x14ac:dyDescent="0.35">
      <c r="A14" s="18">
        <v>13</v>
      </c>
      <c r="B14" s="25" t="s">
        <v>90</v>
      </c>
      <c r="C14" s="27">
        <v>2.5</v>
      </c>
    </row>
    <row r="15" spans="1:3" ht="18.5" x14ac:dyDescent="0.35">
      <c r="A15" s="18">
        <v>14</v>
      </c>
      <c r="B15" s="25" t="s">
        <v>55</v>
      </c>
      <c r="C15" s="27">
        <v>2.5</v>
      </c>
    </row>
    <row r="16" spans="1:3" ht="18.5" x14ac:dyDescent="0.35">
      <c r="A16" s="18">
        <v>15</v>
      </c>
      <c r="B16" s="12" t="s">
        <v>133</v>
      </c>
      <c r="C16" s="17">
        <v>2</v>
      </c>
    </row>
    <row r="17" spans="1:3" ht="18.5" x14ac:dyDescent="0.35">
      <c r="A17" s="18">
        <v>16</v>
      </c>
      <c r="B17" s="12" t="s">
        <v>134</v>
      </c>
      <c r="C17" s="19">
        <v>1.5</v>
      </c>
    </row>
    <row r="18" spans="1:3" ht="18.5" x14ac:dyDescent="0.35">
      <c r="A18" s="18">
        <v>17</v>
      </c>
      <c r="B18" s="12" t="s">
        <v>135</v>
      </c>
      <c r="C18" s="19">
        <v>1.5</v>
      </c>
    </row>
    <row r="19" spans="1:3" ht="18.5" x14ac:dyDescent="0.35">
      <c r="A19" s="18">
        <v>18</v>
      </c>
      <c r="B19" s="12" t="s">
        <v>136</v>
      </c>
      <c r="C19" s="19">
        <v>2.5</v>
      </c>
    </row>
    <row r="20" spans="1:3" ht="18.5" x14ac:dyDescent="0.35">
      <c r="A20" s="18">
        <v>19</v>
      </c>
      <c r="B20" s="12" t="s">
        <v>137</v>
      </c>
      <c r="C20" s="19">
        <v>5</v>
      </c>
    </row>
    <row r="21" spans="1:3" ht="18.5" x14ac:dyDescent="0.35">
      <c r="A21" s="18">
        <v>20</v>
      </c>
      <c r="B21" s="12" t="s">
        <v>138</v>
      </c>
      <c r="C21" s="19">
        <v>2</v>
      </c>
    </row>
    <row r="22" spans="1:3" ht="18.5" x14ac:dyDescent="0.35">
      <c r="A22" s="18">
        <v>21</v>
      </c>
      <c r="B22" s="12" t="s">
        <v>139</v>
      </c>
      <c r="C22" s="19">
        <v>1.5</v>
      </c>
    </row>
    <row r="23" spans="1:3" ht="18.5" x14ac:dyDescent="0.35">
      <c r="A23" s="18">
        <v>22</v>
      </c>
      <c r="B23" s="12" t="s">
        <v>140</v>
      </c>
      <c r="C23" s="19">
        <v>2</v>
      </c>
    </row>
    <row r="24" spans="1:3" ht="18.5" x14ac:dyDescent="0.35">
      <c r="A24" s="18">
        <v>23</v>
      </c>
      <c r="B24" s="12" t="s">
        <v>141</v>
      </c>
      <c r="C24" s="19">
        <v>2</v>
      </c>
    </row>
    <row r="25" spans="1:3" ht="18.5" x14ac:dyDescent="0.35">
      <c r="A25" s="18">
        <v>24</v>
      </c>
      <c r="B25" s="12" t="s">
        <v>142</v>
      </c>
      <c r="C25" s="19"/>
    </row>
    <row r="26" spans="1:3" ht="18.5" x14ac:dyDescent="0.35">
      <c r="A26" s="18">
        <v>25</v>
      </c>
      <c r="B26" s="9" t="s">
        <v>18</v>
      </c>
      <c r="C26" s="19">
        <v>3</v>
      </c>
    </row>
    <row r="27" spans="1:3" ht="18.5" x14ac:dyDescent="0.35">
      <c r="A27" s="18">
        <v>26</v>
      </c>
      <c r="B27" s="9" t="s">
        <v>19</v>
      </c>
      <c r="C27" s="19">
        <v>1.7</v>
      </c>
    </row>
    <row r="28" spans="1:3" ht="18.5" x14ac:dyDescent="0.35">
      <c r="A28" s="18">
        <v>27</v>
      </c>
      <c r="B28" s="9" t="s">
        <v>20</v>
      </c>
      <c r="C28" s="19">
        <v>1.2</v>
      </c>
    </row>
    <row r="29" spans="1:3" ht="18.5" x14ac:dyDescent="0.35">
      <c r="A29" s="18">
        <v>28</v>
      </c>
      <c r="B29" s="9" t="s">
        <v>21</v>
      </c>
      <c r="C29" s="19">
        <v>0.2</v>
      </c>
    </row>
    <row r="30" spans="1:3" ht="18.5" x14ac:dyDescent="0.35">
      <c r="A30" s="18">
        <v>29</v>
      </c>
      <c r="B30" s="12" t="s">
        <v>91</v>
      </c>
      <c r="C30" s="19">
        <v>2</v>
      </c>
    </row>
    <row r="31" spans="1:3" ht="18.5" x14ac:dyDescent="0.35">
      <c r="A31" s="18">
        <v>30</v>
      </c>
      <c r="B31" s="12" t="s">
        <v>99</v>
      </c>
      <c r="C31" s="19"/>
    </row>
    <row r="32" spans="1:3" ht="18.5" x14ac:dyDescent="0.35">
      <c r="A32" s="18">
        <v>31</v>
      </c>
      <c r="B32" s="12" t="s">
        <v>101</v>
      </c>
      <c r="C32" s="19"/>
    </row>
    <row r="33" spans="1:3" ht="18.5" x14ac:dyDescent="0.35">
      <c r="A33" s="18">
        <v>32</v>
      </c>
      <c r="B33" s="12" t="s">
        <v>124</v>
      </c>
      <c r="C33" s="19"/>
    </row>
    <row r="34" spans="1:3" ht="18.5" x14ac:dyDescent="0.35">
      <c r="A34" s="18">
        <v>33</v>
      </c>
      <c r="B34" s="12" t="s">
        <v>102</v>
      </c>
      <c r="C34" s="19"/>
    </row>
    <row r="35" spans="1:3" ht="18.5" x14ac:dyDescent="0.35">
      <c r="A35" s="18">
        <v>34</v>
      </c>
      <c r="B35" s="12" t="s">
        <v>125</v>
      </c>
      <c r="C35" s="19"/>
    </row>
    <row r="36" spans="1:3" ht="18.5" x14ac:dyDescent="0.35">
      <c r="A36" s="18">
        <v>35</v>
      </c>
      <c r="B36" s="12" t="s">
        <v>103</v>
      </c>
      <c r="C36" s="19"/>
    </row>
    <row r="37" spans="1:3" ht="18.5" x14ac:dyDescent="0.35">
      <c r="A37" s="18">
        <v>36</v>
      </c>
      <c r="B37" s="12" t="s">
        <v>104</v>
      </c>
      <c r="C37" s="19"/>
    </row>
    <row r="38" spans="1:3" ht="18.5" x14ac:dyDescent="0.35">
      <c r="A38" s="18">
        <v>37</v>
      </c>
      <c r="B38" s="12" t="s">
        <v>105</v>
      </c>
      <c r="C38" s="19"/>
    </row>
    <row r="39" spans="1:3" ht="18.5" x14ac:dyDescent="0.35">
      <c r="A39" s="18">
        <v>38</v>
      </c>
      <c r="B39" s="12" t="s">
        <v>106</v>
      </c>
      <c r="C39" s="19"/>
    </row>
    <row r="40" spans="1:3" ht="18.5" x14ac:dyDescent="0.35">
      <c r="A40" s="18">
        <v>39</v>
      </c>
      <c r="B40" s="12" t="s">
        <v>107</v>
      </c>
      <c r="C40" s="19"/>
    </row>
    <row r="41" spans="1:3" ht="18.5" x14ac:dyDescent="0.35">
      <c r="A41" s="18">
        <v>40</v>
      </c>
      <c r="B41" s="12" t="s">
        <v>108</v>
      </c>
      <c r="C41" s="19"/>
    </row>
    <row r="42" spans="1:3" ht="18.5" x14ac:dyDescent="0.35">
      <c r="A42" s="18">
        <v>41</v>
      </c>
      <c r="B42" s="12" t="s">
        <v>109</v>
      </c>
      <c r="C42" s="19"/>
    </row>
    <row r="43" spans="1:3" ht="18.5" x14ac:dyDescent="0.35">
      <c r="A43" s="18">
        <v>42</v>
      </c>
      <c r="B43" s="12" t="s">
        <v>110</v>
      </c>
      <c r="C43" s="19"/>
    </row>
    <row r="44" spans="1:3" ht="18.5" x14ac:dyDescent="0.35">
      <c r="A44" s="18">
        <v>43</v>
      </c>
      <c r="B44" s="12" t="s">
        <v>111</v>
      </c>
      <c r="C44" s="19"/>
    </row>
    <row r="45" spans="1:3" ht="18.5" x14ac:dyDescent="0.35">
      <c r="A45" s="18">
        <v>44</v>
      </c>
      <c r="B45" s="11" t="s">
        <v>60</v>
      </c>
      <c r="C45" s="19">
        <v>4</v>
      </c>
    </row>
    <row r="46" spans="1:3" ht="18.5" x14ac:dyDescent="0.35">
      <c r="A46" s="18">
        <v>45</v>
      </c>
      <c r="B46" s="9" t="s">
        <v>145</v>
      </c>
      <c r="C46" s="9">
        <v>3.5</v>
      </c>
    </row>
    <row r="47" spans="1:3" ht="18.5" x14ac:dyDescent="0.35">
      <c r="A47" s="18">
        <v>46</v>
      </c>
      <c r="B47" s="9" t="s">
        <v>146</v>
      </c>
      <c r="C47" s="9">
        <v>2.5</v>
      </c>
    </row>
    <row r="48" spans="1:3" ht="18.5" x14ac:dyDescent="0.35">
      <c r="A48" s="18">
        <v>47</v>
      </c>
      <c r="B48" s="9"/>
      <c r="C48" s="9"/>
    </row>
    <row r="49" spans="1:3" ht="18.5" x14ac:dyDescent="0.35">
      <c r="A49" s="18">
        <v>48</v>
      </c>
      <c r="B49" s="9" t="s">
        <v>144</v>
      </c>
      <c r="C49" s="19">
        <v>3.5</v>
      </c>
    </row>
    <row r="50" spans="1:3" ht="18.5" x14ac:dyDescent="0.35">
      <c r="A50" s="18">
        <v>49</v>
      </c>
      <c r="B50" s="9" t="s">
        <v>143</v>
      </c>
      <c r="C50" s="9">
        <v>2.5</v>
      </c>
    </row>
    <row r="51" spans="1:3" ht="18.5" x14ac:dyDescent="0.35">
      <c r="A51" s="18">
        <v>50</v>
      </c>
      <c r="B51" s="11" t="s">
        <v>96</v>
      </c>
      <c r="C51" s="19">
        <v>5</v>
      </c>
    </row>
    <row r="52" spans="1:3" ht="18.5" x14ac:dyDescent="0.35">
      <c r="A52" s="18">
        <v>51</v>
      </c>
      <c r="B52" s="9" t="s">
        <v>6</v>
      </c>
      <c r="C52" s="19">
        <v>4.3</v>
      </c>
    </row>
    <row r="53" spans="1:3" ht="18.5" x14ac:dyDescent="0.35">
      <c r="A53" s="18">
        <v>52</v>
      </c>
      <c r="B53" s="9" t="s">
        <v>7</v>
      </c>
      <c r="C53" s="19">
        <v>2</v>
      </c>
    </row>
    <row r="54" spans="1:3" ht="18.5" x14ac:dyDescent="0.35">
      <c r="A54" s="18">
        <v>53</v>
      </c>
      <c r="B54" s="9" t="s">
        <v>8</v>
      </c>
      <c r="C54" s="19">
        <v>1.5</v>
      </c>
    </row>
    <row r="55" spans="1:3" ht="18.5" x14ac:dyDescent="0.35">
      <c r="A55" s="18">
        <v>54</v>
      </c>
      <c r="B55" s="9" t="s">
        <v>9</v>
      </c>
      <c r="C55" s="19">
        <v>2</v>
      </c>
    </row>
    <row r="56" spans="1:3" ht="18.5" x14ac:dyDescent="0.35">
      <c r="A56" s="18">
        <v>55</v>
      </c>
      <c r="B56" s="9" t="s">
        <v>10</v>
      </c>
      <c r="C56" s="19">
        <v>2.5</v>
      </c>
    </row>
    <row r="57" spans="1:3" ht="18.5" x14ac:dyDescent="0.35">
      <c r="A57" s="18">
        <v>56</v>
      </c>
      <c r="B57" s="9" t="s">
        <v>30</v>
      </c>
      <c r="C57" s="19">
        <v>2</v>
      </c>
    </row>
    <row r="58" spans="1:3" ht="18.5" x14ac:dyDescent="0.35">
      <c r="A58" s="18">
        <v>57</v>
      </c>
      <c r="B58" s="9" t="s">
        <v>31</v>
      </c>
      <c r="C58" s="19">
        <v>2</v>
      </c>
    </row>
    <row r="59" spans="1:3" ht="18.5" x14ac:dyDescent="0.35">
      <c r="A59" s="18">
        <v>58</v>
      </c>
      <c r="B59" s="9" t="s">
        <v>32</v>
      </c>
      <c r="C59" s="19">
        <v>2</v>
      </c>
    </row>
    <row r="60" spans="1:3" ht="18.5" x14ac:dyDescent="0.35">
      <c r="A60" s="18">
        <v>59</v>
      </c>
      <c r="B60" s="9" t="s">
        <v>33</v>
      </c>
      <c r="C60" s="19">
        <v>2</v>
      </c>
    </row>
    <row r="61" spans="1:3" ht="18.5" x14ac:dyDescent="0.35">
      <c r="A61" s="18">
        <v>60</v>
      </c>
      <c r="B61" s="9" t="s">
        <v>34</v>
      </c>
      <c r="C61" s="19">
        <v>2.5</v>
      </c>
    </row>
    <row r="62" spans="1:3" ht="18.5" x14ac:dyDescent="0.35">
      <c r="A62" s="18">
        <v>61</v>
      </c>
      <c r="B62" s="9" t="s">
        <v>25</v>
      </c>
      <c r="C62" s="19">
        <v>3</v>
      </c>
    </row>
    <row r="63" spans="1:3" ht="18.5" x14ac:dyDescent="0.35">
      <c r="A63" s="18">
        <v>62</v>
      </c>
      <c r="B63" s="9" t="s">
        <v>26</v>
      </c>
      <c r="C63" s="19">
        <v>2</v>
      </c>
    </row>
    <row r="64" spans="1:3" ht="18.5" x14ac:dyDescent="0.35">
      <c r="A64" s="18">
        <v>63</v>
      </c>
      <c r="B64" s="9" t="s">
        <v>27</v>
      </c>
      <c r="C64" s="19">
        <v>2</v>
      </c>
    </row>
    <row r="65" spans="1:3" ht="18.5" x14ac:dyDescent="0.35">
      <c r="A65" s="18">
        <v>64</v>
      </c>
      <c r="B65" s="9" t="s">
        <v>28</v>
      </c>
      <c r="C65" s="19">
        <v>2</v>
      </c>
    </row>
    <row r="66" spans="1:3" ht="18.5" x14ac:dyDescent="0.35">
      <c r="A66" s="18">
        <v>65</v>
      </c>
      <c r="B66" s="9" t="s">
        <v>29</v>
      </c>
      <c r="C66" s="19">
        <v>2.5</v>
      </c>
    </row>
    <row r="67" spans="1:3" ht="18.5" x14ac:dyDescent="0.35">
      <c r="A67" s="18">
        <v>66</v>
      </c>
      <c r="B67" s="12" t="s">
        <v>56</v>
      </c>
      <c r="C67" s="19">
        <v>2.5</v>
      </c>
    </row>
    <row r="68" spans="1:3" ht="18.5" x14ac:dyDescent="0.35">
      <c r="A68" s="18">
        <v>67</v>
      </c>
      <c r="B68" s="9" t="s">
        <v>22</v>
      </c>
      <c r="C68" s="19">
        <v>2</v>
      </c>
    </row>
    <row r="69" spans="1:3" ht="18.5" x14ac:dyDescent="0.35">
      <c r="A69" s="18">
        <v>68</v>
      </c>
      <c r="B69" s="9" t="s">
        <v>23</v>
      </c>
      <c r="C69" s="19">
        <v>2</v>
      </c>
    </row>
    <row r="70" spans="1:3" ht="18.5" x14ac:dyDescent="0.35">
      <c r="A70" s="18">
        <v>69</v>
      </c>
      <c r="B70" s="9" t="s">
        <v>24</v>
      </c>
      <c r="C70" s="19">
        <v>2</v>
      </c>
    </row>
    <row r="71" spans="1:3" ht="21" x14ac:dyDescent="0.35">
      <c r="A71" s="18">
        <v>70</v>
      </c>
      <c r="B71" s="12" t="s">
        <v>80</v>
      </c>
      <c r="C71" s="19"/>
    </row>
    <row r="72" spans="1:3" ht="21" x14ac:dyDescent="0.35">
      <c r="A72" s="18">
        <v>71</v>
      </c>
      <c r="B72" s="12" t="s">
        <v>81</v>
      </c>
      <c r="C72" s="19"/>
    </row>
    <row r="73" spans="1:3" ht="21" x14ac:dyDescent="0.35">
      <c r="A73" s="18">
        <v>72</v>
      </c>
      <c r="B73" s="12" t="s">
        <v>82</v>
      </c>
      <c r="C73" s="19"/>
    </row>
    <row r="74" spans="1:3" ht="21" x14ac:dyDescent="0.35">
      <c r="A74" s="18">
        <v>73</v>
      </c>
      <c r="B74" s="12" t="s">
        <v>83</v>
      </c>
      <c r="C74" s="19"/>
    </row>
    <row r="75" spans="1:3" ht="18.5" x14ac:dyDescent="0.35">
      <c r="A75" s="18">
        <v>74</v>
      </c>
      <c r="B75" s="9" t="s">
        <v>126</v>
      </c>
      <c r="C75" s="19"/>
    </row>
    <row r="76" spans="1:3" ht="18.5" x14ac:dyDescent="0.35">
      <c r="A76" s="18">
        <v>75</v>
      </c>
      <c r="B76" s="9" t="s">
        <v>127</v>
      </c>
      <c r="C76" s="19"/>
    </row>
    <row r="77" spans="1:3" ht="18.5" x14ac:dyDescent="0.35">
      <c r="A77" s="18">
        <v>76</v>
      </c>
      <c r="B77" s="12" t="s">
        <v>84</v>
      </c>
      <c r="C77" s="19"/>
    </row>
    <row r="78" spans="1:3" ht="18.5" x14ac:dyDescent="0.35">
      <c r="A78" s="18">
        <v>77</v>
      </c>
      <c r="B78" s="12" t="s">
        <v>85</v>
      </c>
      <c r="C78" s="19"/>
    </row>
    <row r="79" spans="1:3" ht="18.5" x14ac:dyDescent="0.35">
      <c r="A79" s="18">
        <v>78</v>
      </c>
      <c r="B79" s="12" t="s">
        <v>84</v>
      </c>
      <c r="C79" s="19"/>
    </row>
    <row r="80" spans="1:3" ht="18.5" x14ac:dyDescent="0.35">
      <c r="A80" s="18">
        <v>79</v>
      </c>
      <c r="B80" s="12" t="s">
        <v>130</v>
      </c>
      <c r="C80" s="20"/>
    </row>
    <row r="81" spans="1:3" ht="18.5" x14ac:dyDescent="0.35">
      <c r="A81" s="18">
        <v>80</v>
      </c>
      <c r="B81" s="12" t="s">
        <v>131</v>
      </c>
      <c r="C81" s="20"/>
    </row>
    <row r="82" spans="1:3" ht="18.5" x14ac:dyDescent="0.35">
      <c r="A82" s="18">
        <v>81</v>
      </c>
      <c r="B82" s="12" t="s">
        <v>112</v>
      </c>
      <c r="C82" s="20"/>
    </row>
    <row r="83" spans="1:3" ht="18.5" x14ac:dyDescent="0.35">
      <c r="A83" s="18">
        <v>82</v>
      </c>
      <c r="B83" s="12" t="s">
        <v>61</v>
      </c>
      <c r="C83" s="19">
        <v>4.5</v>
      </c>
    </row>
    <row r="84" spans="1:3" ht="18.5" x14ac:dyDescent="0.35">
      <c r="A84" s="18">
        <v>83</v>
      </c>
      <c r="B84" s="12" t="s">
        <v>92</v>
      </c>
      <c r="C84" s="19">
        <v>3.8</v>
      </c>
    </row>
    <row r="85" spans="1:3" ht="18.5" x14ac:dyDescent="0.35">
      <c r="A85" s="18">
        <v>84</v>
      </c>
      <c r="B85" s="12" t="s">
        <v>62</v>
      </c>
      <c r="C85" s="19">
        <v>6.5</v>
      </c>
    </row>
    <row r="86" spans="1:3" ht="18.5" x14ac:dyDescent="0.35">
      <c r="A86" s="18">
        <v>85</v>
      </c>
      <c r="B86" s="12" t="s">
        <v>93</v>
      </c>
      <c r="C86" s="19">
        <v>3.5</v>
      </c>
    </row>
    <row r="87" spans="1:3" ht="18.5" x14ac:dyDescent="0.35">
      <c r="A87" s="18">
        <v>86</v>
      </c>
      <c r="B87" s="12" t="s">
        <v>63</v>
      </c>
      <c r="C87" s="19">
        <v>2.5</v>
      </c>
    </row>
    <row r="88" spans="1:3" ht="18.5" x14ac:dyDescent="0.35">
      <c r="A88" s="18">
        <v>87</v>
      </c>
      <c r="B88" s="12" t="s">
        <v>64</v>
      </c>
      <c r="C88" s="19">
        <v>2.5</v>
      </c>
    </row>
    <row r="89" spans="1:3" ht="18.5" x14ac:dyDescent="0.35">
      <c r="A89" s="18">
        <v>88</v>
      </c>
      <c r="B89" s="12" t="s">
        <v>100</v>
      </c>
      <c r="C89" s="19"/>
    </row>
    <row r="90" spans="1:3" ht="18.5" x14ac:dyDescent="0.35">
      <c r="A90" s="18">
        <v>89</v>
      </c>
      <c r="B90" s="12" t="s">
        <v>65</v>
      </c>
      <c r="C90" s="19">
        <v>4.5</v>
      </c>
    </row>
    <row r="91" spans="1:3" ht="18.5" x14ac:dyDescent="0.35">
      <c r="A91" s="18">
        <v>90</v>
      </c>
      <c r="B91" s="12" t="s">
        <v>4</v>
      </c>
      <c r="C91" s="19">
        <v>3</v>
      </c>
    </row>
    <row r="92" spans="1:3" ht="18.5" x14ac:dyDescent="0.35">
      <c r="A92" s="18">
        <v>91</v>
      </c>
      <c r="B92" s="12" t="s">
        <v>66</v>
      </c>
      <c r="C92" s="19">
        <v>3</v>
      </c>
    </row>
    <row r="93" spans="1:3" ht="18.5" x14ac:dyDescent="0.35">
      <c r="A93" s="18">
        <v>92</v>
      </c>
      <c r="B93" s="12" t="s">
        <v>5</v>
      </c>
      <c r="C93" s="19">
        <v>2.5</v>
      </c>
    </row>
    <row r="94" spans="1:3" ht="18.5" x14ac:dyDescent="0.35">
      <c r="A94" s="18">
        <v>93</v>
      </c>
      <c r="B94" s="12" t="s">
        <v>67</v>
      </c>
      <c r="C94" s="19">
        <v>2.5</v>
      </c>
    </row>
    <row r="95" spans="1:3" ht="18.5" x14ac:dyDescent="0.35">
      <c r="A95" s="18">
        <v>94</v>
      </c>
      <c r="B95" s="12" t="s">
        <v>70</v>
      </c>
      <c r="C95" s="19">
        <v>2.5</v>
      </c>
    </row>
    <row r="96" spans="1:3" ht="18.5" x14ac:dyDescent="0.35">
      <c r="A96" s="18">
        <v>95</v>
      </c>
      <c r="B96" s="9" t="s">
        <v>43</v>
      </c>
      <c r="C96" s="19">
        <v>6</v>
      </c>
    </row>
    <row r="97" spans="1:3" ht="18.5" x14ac:dyDescent="0.35">
      <c r="A97" s="18">
        <v>96</v>
      </c>
      <c r="B97" s="9" t="s">
        <v>44</v>
      </c>
      <c r="C97" s="19">
        <v>4</v>
      </c>
    </row>
    <row r="98" spans="1:3" ht="18.5" x14ac:dyDescent="0.35">
      <c r="A98" s="18">
        <v>97</v>
      </c>
      <c r="B98" s="9" t="s">
        <v>45</v>
      </c>
      <c r="C98" s="19">
        <v>2.5</v>
      </c>
    </row>
    <row r="99" spans="1:3" ht="18.5" x14ac:dyDescent="0.35">
      <c r="A99" s="18">
        <v>98</v>
      </c>
      <c r="B99" s="9" t="s">
        <v>46</v>
      </c>
      <c r="C99" s="19">
        <v>2.5</v>
      </c>
    </row>
    <row r="100" spans="1:3" ht="18.5" x14ac:dyDescent="0.35">
      <c r="A100" s="18">
        <v>99</v>
      </c>
      <c r="B100" s="12" t="s">
        <v>71</v>
      </c>
      <c r="C100" s="19">
        <v>2</v>
      </c>
    </row>
    <row r="101" spans="1:3" ht="18.5" x14ac:dyDescent="0.35">
      <c r="A101" s="18">
        <v>100</v>
      </c>
      <c r="B101" s="9" t="s">
        <v>47</v>
      </c>
      <c r="C101" s="19">
        <v>2</v>
      </c>
    </row>
    <row r="102" spans="1:3" ht="18.5" x14ac:dyDescent="0.35">
      <c r="A102" s="18">
        <v>101</v>
      </c>
      <c r="B102" s="9" t="s">
        <v>35</v>
      </c>
      <c r="C102" s="19">
        <v>7.5</v>
      </c>
    </row>
    <row r="103" spans="1:3" ht="18.5" x14ac:dyDescent="0.35">
      <c r="A103" s="18">
        <v>102</v>
      </c>
      <c r="B103" s="9" t="s">
        <v>36</v>
      </c>
      <c r="C103" s="19">
        <v>6</v>
      </c>
    </row>
    <row r="104" spans="1:3" ht="18.5" x14ac:dyDescent="0.35">
      <c r="A104" s="18">
        <v>103</v>
      </c>
      <c r="B104" s="9" t="s">
        <v>37</v>
      </c>
      <c r="C104" s="19">
        <v>4</v>
      </c>
    </row>
    <row r="105" spans="1:3" ht="18.5" x14ac:dyDescent="0.35">
      <c r="A105" s="18">
        <v>104</v>
      </c>
      <c r="B105" s="9" t="s">
        <v>38</v>
      </c>
      <c r="C105" s="19">
        <v>2.5</v>
      </c>
    </row>
    <row r="106" spans="1:3" ht="18.5" x14ac:dyDescent="0.35">
      <c r="A106" s="18">
        <v>105</v>
      </c>
      <c r="B106" s="9" t="s">
        <v>39</v>
      </c>
      <c r="C106" s="19">
        <v>1.5</v>
      </c>
    </row>
    <row r="107" spans="1:3" ht="18.5" x14ac:dyDescent="0.35">
      <c r="A107" s="18">
        <v>106</v>
      </c>
      <c r="B107" s="9" t="s">
        <v>40</v>
      </c>
      <c r="C107" s="19">
        <v>15</v>
      </c>
    </row>
    <row r="108" spans="1:3" ht="18.5" x14ac:dyDescent="0.35">
      <c r="A108" s="18">
        <v>107</v>
      </c>
      <c r="B108" s="9" t="s">
        <v>41</v>
      </c>
      <c r="C108" s="19">
        <v>1.5</v>
      </c>
    </row>
    <row r="109" spans="1:3" ht="18.5" x14ac:dyDescent="0.35">
      <c r="A109" s="18">
        <v>108</v>
      </c>
      <c r="B109" s="9" t="s">
        <v>42</v>
      </c>
      <c r="C109" s="19">
        <v>2</v>
      </c>
    </row>
    <row r="110" spans="1:3" ht="18.5" x14ac:dyDescent="0.35">
      <c r="A110" s="18">
        <v>109</v>
      </c>
      <c r="B110" s="12" t="s">
        <v>72</v>
      </c>
      <c r="C110" s="19">
        <v>7</v>
      </c>
    </row>
    <row r="111" spans="1:3" ht="18.5" x14ac:dyDescent="0.35">
      <c r="A111" s="18">
        <v>110</v>
      </c>
      <c r="B111" s="12" t="s">
        <v>73</v>
      </c>
      <c r="C111" s="19">
        <v>5</v>
      </c>
    </row>
    <row r="112" spans="1:3" ht="18.5" x14ac:dyDescent="0.35">
      <c r="A112" s="18">
        <v>111</v>
      </c>
      <c r="B112" s="12" t="s">
        <v>74</v>
      </c>
      <c r="C112" s="19">
        <v>2</v>
      </c>
    </row>
    <row r="113" spans="1:3" ht="18.5" x14ac:dyDescent="0.35">
      <c r="A113" s="18">
        <v>112</v>
      </c>
      <c r="B113" s="12" t="s">
        <v>75</v>
      </c>
      <c r="C113" s="19">
        <v>1.5</v>
      </c>
    </row>
    <row r="114" spans="1:3" ht="18.5" x14ac:dyDescent="0.35">
      <c r="A114" s="18">
        <v>113</v>
      </c>
      <c r="B114" s="12" t="s">
        <v>76</v>
      </c>
      <c r="C114" s="19">
        <v>1.5</v>
      </c>
    </row>
    <row r="115" spans="1:3" ht="18.5" x14ac:dyDescent="0.35">
      <c r="A115" s="18">
        <v>114</v>
      </c>
      <c r="B115" s="12" t="s">
        <v>77</v>
      </c>
      <c r="C115" s="19">
        <v>2</v>
      </c>
    </row>
    <row r="116" spans="1:3" ht="18.5" x14ac:dyDescent="0.35">
      <c r="A116" s="18">
        <v>115</v>
      </c>
      <c r="B116" s="9" t="s">
        <v>11</v>
      </c>
      <c r="C116" s="19">
        <v>6</v>
      </c>
    </row>
    <row r="117" spans="1:3" ht="18.5" x14ac:dyDescent="0.35">
      <c r="A117" s="18">
        <v>116</v>
      </c>
      <c r="B117" s="9" t="s">
        <v>12</v>
      </c>
      <c r="C117" s="19">
        <v>4</v>
      </c>
    </row>
    <row r="118" spans="1:3" ht="18.5" x14ac:dyDescent="0.35">
      <c r="A118" s="18">
        <v>117</v>
      </c>
      <c r="B118" s="9" t="s">
        <v>13</v>
      </c>
      <c r="C118" s="19">
        <v>3</v>
      </c>
    </row>
    <row r="119" spans="1:3" ht="18.5" x14ac:dyDescent="0.35">
      <c r="A119" s="18">
        <v>118</v>
      </c>
      <c r="B119" s="9" t="s">
        <v>14</v>
      </c>
      <c r="C119" s="19">
        <v>1.5</v>
      </c>
    </row>
    <row r="120" spans="1:3" ht="18.5" x14ac:dyDescent="0.35">
      <c r="A120" s="18">
        <v>119</v>
      </c>
      <c r="B120" s="9" t="s">
        <v>15</v>
      </c>
      <c r="C120" s="19">
        <v>2</v>
      </c>
    </row>
    <row r="121" spans="1:3" ht="18.5" x14ac:dyDescent="0.35">
      <c r="A121" s="18">
        <v>120</v>
      </c>
      <c r="B121" s="9" t="s">
        <v>16</v>
      </c>
      <c r="C121" s="19">
        <v>2</v>
      </c>
    </row>
    <row r="122" spans="1:3" ht="18.5" x14ac:dyDescent="0.35">
      <c r="A122" s="18">
        <v>121</v>
      </c>
      <c r="B122" s="9" t="s">
        <v>17</v>
      </c>
      <c r="C122" s="19">
        <v>2</v>
      </c>
    </row>
    <row r="123" spans="1:3" ht="18.5" x14ac:dyDescent="0.35">
      <c r="A123" s="18">
        <v>122</v>
      </c>
      <c r="B123" s="12" t="s">
        <v>113</v>
      </c>
      <c r="C123" s="20"/>
    </row>
    <row r="124" spans="1:3" ht="18.5" x14ac:dyDescent="0.35">
      <c r="A124" s="18">
        <v>123</v>
      </c>
      <c r="B124" s="12" t="s">
        <v>114</v>
      </c>
      <c r="C124" s="20"/>
    </row>
    <row r="125" spans="1:3" ht="18.5" x14ac:dyDescent="0.35">
      <c r="A125" s="18">
        <v>124</v>
      </c>
      <c r="B125" s="12" t="s">
        <v>115</v>
      </c>
      <c r="C125" s="20"/>
    </row>
    <row r="126" spans="1:3" ht="18.5" x14ac:dyDescent="0.35">
      <c r="A126" s="18">
        <v>125</v>
      </c>
      <c r="B126" s="12" t="s">
        <v>116</v>
      </c>
      <c r="C126" s="20"/>
    </row>
    <row r="127" spans="1:3" ht="18.5" x14ac:dyDescent="0.35">
      <c r="A127" s="18">
        <v>126</v>
      </c>
      <c r="B127" s="12" t="s">
        <v>117</v>
      </c>
      <c r="C127" s="20"/>
    </row>
    <row r="128" spans="1:3" ht="18.5" x14ac:dyDescent="0.35">
      <c r="A128" s="18">
        <v>127</v>
      </c>
      <c r="B128" s="12" t="s">
        <v>118</v>
      </c>
      <c r="C128" s="20"/>
    </row>
    <row r="129" spans="1:3" ht="18.5" x14ac:dyDescent="0.35">
      <c r="A129" s="18">
        <v>128</v>
      </c>
      <c r="B129" s="12" t="s">
        <v>119</v>
      </c>
      <c r="C129" s="20"/>
    </row>
    <row r="130" spans="1:3" ht="18.5" x14ac:dyDescent="0.35">
      <c r="A130" s="18">
        <v>129</v>
      </c>
      <c r="B130" s="12" t="s">
        <v>120</v>
      </c>
      <c r="C130" s="20"/>
    </row>
    <row r="131" spans="1:3" ht="18.5" x14ac:dyDescent="0.35">
      <c r="A131" s="18">
        <v>130</v>
      </c>
      <c r="B131" s="9" t="s">
        <v>78</v>
      </c>
      <c r="C131" s="19">
        <v>3.5</v>
      </c>
    </row>
    <row r="132" spans="1:3" ht="18.5" x14ac:dyDescent="0.35">
      <c r="A132" s="18">
        <v>131</v>
      </c>
      <c r="B132" s="9" t="s">
        <v>79</v>
      </c>
      <c r="C132" s="19">
        <v>3.5</v>
      </c>
    </row>
    <row r="133" spans="1:3" ht="18.5" x14ac:dyDescent="0.35">
      <c r="A133" s="18">
        <v>132</v>
      </c>
      <c r="B133" s="12" t="s">
        <v>68</v>
      </c>
      <c r="C133" s="19">
        <v>4.5</v>
      </c>
    </row>
    <row r="134" spans="1:3" ht="18.5" x14ac:dyDescent="0.35">
      <c r="A134" s="18">
        <v>133</v>
      </c>
      <c r="B134" s="12" t="s">
        <v>69</v>
      </c>
      <c r="C134" s="19">
        <v>4</v>
      </c>
    </row>
    <row r="135" spans="1:3" ht="18.5" x14ac:dyDescent="0.35">
      <c r="A135" s="18">
        <v>134</v>
      </c>
      <c r="B135" s="21"/>
      <c r="C135" s="20"/>
    </row>
    <row r="136" spans="1:3" ht="18.5" x14ac:dyDescent="0.35">
      <c r="A136" s="18">
        <v>135</v>
      </c>
      <c r="B136" s="21"/>
      <c r="C136" s="20"/>
    </row>
    <row r="137" spans="1:3" ht="18.5" x14ac:dyDescent="0.35">
      <c r="A137" s="18">
        <v>136</v>
      </c>
      <c r="B137" s="21"/>
      <c r="C137" s="20"/>
    </row>
    <row r="138" spans="1:3" ht="18.5" x14ac:dyDescent="0.35">
      <c r="A138" s="18">
        <v>137</v>
      </c>
      <c r="B138" s="21"/>
      <c r="C138" s="20"/>
    </row>
    <row r="139" spans="1:3" ht="18.5" x14ac:dyDescent="0.35">
      <c r="A139" s="18">
        <v>138</v>
      </c>
      <c r="B139" s="21"/>
      <c r="C139" s="20"/>
    </row>
    <row r="140" spans="1:3" ht="18.5" x14ac:dyDescent="0.35">
      <c r="A140" s="18">
        <v>139</v>
      </c>
      <c r="B140" s="21"/>
      <c r="C140" s="20"/>
    </row>
    <row r="141" spans="1:3" ht="18.5" x14ac:dyDescent="0.35">
      <c r="A141" s="18">
        <v>140</v>
      </c>
      <c r="B141" s="21"/>
      <c r="C141" s="20"/>
    </row>
    <row r="142" spans="1:3" ht="18.5" x14ac:dyDescent="0.35">
      <c r="A142" s="18">
        <v>141</v>
      </c>
      <c r="B142" s="21"/>
      <c r="C142" s="20"/>
    </row>
    <row r="143" spans="1:3" ht="18.5" x14ac:dyDescent="0.35">
      <c r="A143" s="18">
        <v>142</v>
      </c>
      <c r="B143" s="21"/>
      <c r="C143" s="20"/>
    </row>
    <row r="144" spans="1:3" ht="18.5" x14ac:dyDescent="0.35">
      <c r="A144" s="18">
        <v>143</v>
      </c>
      <c r="B144" s="21"/>
      <c r="C144" s="20"/>
    </row>
    <row r="145" spans="1:3" ht="18.5" x14ac:dyDescent="0.35">
      <c r="A145" s="18">
        <v>144</v>
      </c>
      <c r="B145" s="21"/>
      <c r="C145" s="20"/>
    </row>
    <row r="146" spans="1:3" ht="18.5" x14ac:dyDescent="0.35">
      <c r="A146" s="18">
        <v>145</v>
      </c>
      <c r="B146" s="21"/>
      <c r="C146" s="20"/>
    </row>
    <row r="147" spans="1:3" ht="18.5" x14ac:dyDescent="0.35">
      <c r="A147" s="18">
        <v>146</v>
      </c>
      <c r="B147" s="21"/>
      <c r="C147" s="20"/>
    </row>
    <row r="148" spans="1:3" ht="18.5" x14ac:dyDescent="0.35">
      <c r="A148" s="18">
        <v>147</v>
      </c>
      <c r="B148" s="21"/>
      <c r="C148" s="20"/>
    </row>
    <row r="149" spans="1:3" ht="18.5" x14ac:dyDescent="0.35">
      <c r="A149" s="18">
        <v>148</v>
      </c>
      <c r="B149" s="21"/>
      <c r="C149" s="20"/>
    </row>
    <row r="150" spans="1:3" ht="18.5" x14ac:dyDescent="0.35">
      <c r="A150" s="18">
        <v>149</v>
      </c>
      <c r="B150" s="21"/>
      <c r="C150" s="20"/>
    </row>
    <row r="151" spans="1:3" ht="19" thickBot="1" x14ac:dyDescent="0.4">
      <c r="A151" s="22">
        <v>150</v>
      </c>
      <c r="B151" s="23"/>
      <c r="C151" s="2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Dheeraj Jawla</dc:creator>
  <cp:lastModifiedBy>Gaurav Jawla</cp:lastModifiedBy>
  <cp:lastPrinted>2020-11-21T12:14:00Z</cp:lastPrinted>
  <dcterms:created xsi:type="dcterms:W3CDTF">2018-01-31T06:00:58Z</dcterms:created>
  <dcterms:modified xsi:type="dcterms:W3CDTF">2020-11-21T12:14:39Z</dcterms:modified>
</cp:coreProperties>
</file>